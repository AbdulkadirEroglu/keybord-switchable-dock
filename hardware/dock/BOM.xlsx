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k BOM" sheetId="1" state="visible" r:id="rId3"/>
  </sheets>
  <definedNames>
    <definedName function="false" hidden="true" localSheetId="0" name="_xlnm._FilterDatabase" vbProcedure="false">'Dock BOM'!$A$9:$P$34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  <author>None</author>
  </authors>
  <commentList>
    <comment ref="C5" authorId="1">
      <text>
        <r>
          <rPr>
            <sz val="10"/>
            <rFont val="Arial"/>
            <family val="2"/>
          </rPr>
          <t xml:space="preserve">Sum of line totals. Lines without a price count as 0 — see "missing" below.</t>
        </r>
      </text>
    </comment>
    <comment ref="C8" authorId="0">
      <text>
        <r>
          <rPr>
            <sz val="10"/>
            <rFont val="Arial"/>
            <family val="2"/>
          </rPr>
          <t xml:space="preserve">open.er-api.com USD→TRY on 2026-09-26: 48.92. Update before ordering.</t>
        </r>
      </text>
    </comment>
  </commentList>
</comments>
</file>

<file path=xl/sharedStrings.xml><?xml version="1.0" encoding="utf-8"?>
<sst xmlns="http://schemas.openxmlformats.org/spreadsheetml/2006/main" count="221" uniqueCount="166">
  <si>
    <t xml:space="preserve">Dock-pad — Dock PCB bill of materials</t>
  </si>
  <si>
    <t xml:space="preserve">Generated from the hardware/dock schematic (66 parts) plus mechanical items. Prices in TL.</t>
  </si>
  <si>
    <t xml:space="preserve">Boards to build</t>
  </si>
  <si>
    <t xml:space="preserve">How to use:</t>
  </si>
  <si>
    <t xml:space="preserve">Total cost (TL)</t>
  </si>
  <si>
    <t xml:space="preserve">Yellow cells are yours to edit: boards to build, spares, pack size, price per pack, shop, URL, notes.</t>
  </si>
  <si>
    <t xml:space="preserve">Lines with a price</t>
  </si>
  <si>
    <t xml:space="preserve">Black cells are formulas: Needed = Qty/board × Boards + Spares; Packs = ROUNDUP(Needed ÷ Pack size); Line total = Packs × Price per pack.</t>
  </si>
  <si>
    <t xml:space="preserve">Lines still missing a price</t>
  </si>
  <si>
    <t xml:space="preserve">Blue prices were seen on the listed shop on 2026-09-24 — verify before ordering. USD prices: multiply by the rate in C8.</t>
  </si>
  <si>
    <t xml:space="preserve">USD → TL rate</t>
  </si>
  <si>
    <t xml:space="preserve">#</t>
  </si>
  <si>
    <t xml:space="preserve">Group</t>
  </si>
  <si>
    <t xml:space="preserve">Refs</t>
  </si>
  <si>
    <t xml:space="preserve">Description</t>
  </si>
  <si>
    <t xml:space="preserve">Part number</t>
  </si>
  <si>
    <t xml:space="preserve">Package / footprint</t>
  </si>
  <si>
    <t xml:space="preserve">Qty / board</t>
  </si>
  <si>
    <t xml:space="preserve">Spares</t>
  </si>
  <si>
    <t xml:space="preserve">Needed</t>
  </si>
  <si>
    <t xml:space="preserve">Pack size</t>
  </si>
  <si>
    <t xml:space="preserve">Packs to order</t>
  </si>
  <si>
    <t xml:space="preserve">Price per pack (TL)</t>
  </si>
  <si>
    <t xml:space="preserve">Line total (TL)</t>
  </si>
  <si>
    <t xml:space="preserve">Shop</t>
  </si>
  <si>
    <t xml:space="preserve">URL</t>
  </si>
  <si>
    <t xml:space="preserve">Notes</t>
  </si>
  <si>
    <t xml:space="preserve">Modules</t>
  </si>
  <si>
    <t xml:space="preserve">A1</t>
  </si>
  <si>
    <t xml:space="preserve">Host + BLE module</t>
  </si>
  <si>
    <t xml:space="preserve">Raspberry Pi Pico 2 W</t>
  </si>
  <si>
    <t xml:space="preserve">Socketed, 2×20 headers</t>
  </si>
  <si>
    <t xml:space="preserve">Robotistan</t>
  </si>
  <si>
    <t xml:space="preserve">https://www.robotistan.com/raspberry-pi-pico-2-w-header</t>
  </si>
  <si>
    <t xml:space="preserve">Solder male 1×20 headers + a 1×3 header on the debug holes (pointing down)</t>
  </si>
  <si>
    <t xml:space="preserve">A2, A3</t>
  </si>
  <si>
    <t xml:space="preserve">HID endpoint modules</t>
  </si>
  <si>
    <t xml:space="preserve">Raspberry Pi Pico 2</t>
  </si>
  <si>
    <t xml:space="preserve">https://www.robotistan.com/raspberry-pi-pico-2-header?language=tr&amp;h=7e0eb27a&amp;_sgm_campaign=fcs_c12e1a8d78000&amp;_sgm_source=12938%7Cproduct&amp;_sgm_action=search&amp;_sgm_term=pico&amp;_sgm_pinned=false</t>
  </si>
  <si>
    <t xml:space="preserve">Solder male 1×20 headers (pointing down)</t>
  </si>
  <si>
    <t xml:space="preserve">ICs</t>
  </si>
  <si>
    <t xml:space="preserve">U1</t>
  </si>
  <si>
    <t xml:space="preserve">Priority power mux 2.5 A</t>
  </si>
  <si>
    <t xml:space="preserve">TPS2116DRLR</t>
  </si>
  <si>
    <t xml:space="preserve">SOT-583-8 (hand-solder footprint)</t>
  </si>
  <si>
    <t xml:space="preserve">tme</t>
  </si>
  <si>
    <t xml:space="preserve">https://www.tme.eu/tr/tr/details/tps2116drlr/analog-coklayicilar-ve-anahtarlar/texas-instruments/</t>
  </si>
  <si>
    <t xml:space="preserve">Seen at LCSC for ~0.25 USD (2026-09-24). Tiny 0.5 mm pitch — spares recommended</t>
  </si>
  <si>
    <t xml:space="preserve">U3</t>
  </si>
  <si>
    <t xml:space="preserve">USB power switch, active-high EN</t>
  </si>
  <si>
    <t xml:space="preserve">TPS2553DBVR</t>
  </si>
  <si>
    <t xml:space="preserve">SOT-23-6</t>
  </si>
  <si>
    <t xml:space="preserve">Özdisan</t>
  </si>
  <si>
    <t xml:space="preserve">https://ozdisan.com/integrated-circuits-ics/power-management-ics/power-switches/TPS2553DBVR</t>
  </si>
  <si>
    <t xml:space="preserve">Price seen 2026-09-24 (1 pc) — verify before ordering</t>
  </si>
  <si>
    <t xml:space="preserve">U8</t>
  </si>
  <si>
    <t xml:space="preserve">USB power switch, active-low EN</t>
  </si>
  <si>
    <t xml:space="preserve">TPS2552DBVR</t>
  </si>
  <si>
    <t xml:space="preserve">https://ozdisan.com/integrated-circuits-ics/power-management-ics/power-switches/TPS2552DBVR</t>
  </si>
  <si>
    <t xml:space="preserve">Price seen 2026-09-24 (1 pc) — verify before ordering. Not the -1 (latch-off) version</t>
  </si>
  <si>
    <t xml:space="preserve">U4, U5, U6, U9</t>
  </si>
  <si>
    <t xml:space="preserve">4-channel ESD protection</t>
  </si>
  <si>
    <t xml:space="preserve">TPD4E1U06DBVR</t>
  </si>
  <si>
    <t xml:space="preserve">https://ozdisan.com/power-semiconductors/diodes-diode-modules-and-rectifiers/tvs-diodes/TPD4E1U06DBVR</t>
  </si>
  <si>
    <t xml:space="preserve">Connectors</t>
  </si>
  <si>
    <t xml:space="preserve">J1, J4, J5</t>
  </si>
  <si>
    <t xml:space="preserve">USB-C receptacle, USB 2.0, 16-pin SMD</t>
  </si>
  <si>
    <t xml:space="preserve">KLS L-KLS1-5416-L1-01-R</t>
  </si>
  <si>
    <t xml:space="preserve">USB-C 16-pin SMD</t>
  </si>
  <si>
    <t xml:space="preserve">https://www.ozdisan.com/p/usb-konnektorler-357/kls-electronic-l-kls1-5416-l1-01-r-1564461</t>
  </si>
  <si>
    <t xml:space="preserve">Fine-pitch pads — spares for practice</t>
  </si>
  <si>
    <t xml:space="preserve">J7</t>
  </si>
  <si>
    <t xml:space="preserve">Pogo connector, 6-pin, 2.54 mm</t>
  </si>
  <si>
    <t xml:space="preserve">(choose — must mate with the pad side)</t>
  </si>
  <si>
    <t xml:space="preserve">THT 1×6, 2.54 mm</t>
  </si>
  <si>
    <t xml:space="preserve">Motorbit</t>
  </si>
  <si>
    <t xml:space="preserve">https://www.motorobit.com/6-pin-254mm-90c-pogo-pin-magnetic-connector-set-with-ear?srsltid=AU7gw4X13e_PdnJaSYcjqRrRIxg3XB_G7ziLdFPaJnamQ-Cs_lbV83Cm</t>
  </si>
  <si>
    <t xml:space="preserve">GND | +5V | DET | RX | TX | GND</t>
  </si>
  <si>
    <t xml:space="preserve">J2, J3, J6</t>
  </si>
  <si>
    <t xml:space="preserve">SWD header 1×5, 2.54 mm</t>
  </si>
  <si>
    <t xml:space="preserve">Male pin header 1×5</t>
  </si>
  <si>
    <t xml:space="preserve">THT</t>
  </si>
  <si>
    <t xml:space="preserve">https://www.motorobit.com/1x40-erkek-header-40-pin-254mm-180-derece</t>
  </si>
  <si>
    <t xml:space="preserve">Can be cut from a 1×40 strip</t>
  </si>
  <si>
    <t xml:space="preserve">Capacitors</t>
  </si>
  <si>
    <t xml:space="preserve">C13, C14, C15, C16</t>
  </si>
  <si>
    <t xml:space="preserve">Bulk capacitor 100 µF 25 V, 105 °C</t>
  </si>
  <si>
    <t xml:space="preserve">Panasonic EEE-FK1E101XP</t>
  </si>
  <si>
    <t xml:space="preserve">6.3 × 7.7 mm SMD can</t>
  </si>
  <si>
    <t xml:space="preserve">https://www.ozdisan.com/passive-components/capacitors/aluminum-capacitors/EEE-FK1E101XP/622893</t>
  </si>
  <si>
    <t xml:space="preserve">Price seen 2026-09-24 (1 pc) — verify before ordering. Polarized: stripe = −</t>
  </si>
  <si>
    <t xml:space="preserve">C3, C6, C7, C8, C9, C11, C12</t>
  </si>
  <si>
    <t xml:space="preserve">1 µF, ≥10 V, X7R</t>
  </si>
  <si>
    <t xml:space="preserve">samsung CL21B105KBFNNNE</t>
  </si>
  <si>
    <t xml:space="preserve">0805 capacitor</t>
  </si>
  <si>
    <t xml:space="preserve">https://www.ozdisan.com/p/smt-smd-ve-mlcc-kapasitorler-184/samsung-cl21b105kbfnnne-347740?catSequenceId=184</t>
  </si>
  <si>
    <t xml:space="preserve">C1, C2, C10</t>
  </si>
  <si>
    <t xml:space="preserve">100 nF, ≥16 V, X7R</t>
  </si>
  <si>
    <t xml:space="preserve">samsung CL21B104KBCNNNC</t>
  </si>
  <si>
    <t xml:space="preserve">https://www.ozdisan.com/p/smt-smd-ve-mlcc-kapasitorler-184/samsung-cl21b104kbcnnnc-14777?catSequenceId=184</t>
  </si>
  <si>
    <t xml:space="preserve">Shield termination</t>
  </si>
  <si>
    <t xml:space="preserve">Resistors</t>
  </si>
  <si>
    <t xml:space="preserve">R3, R6, R13, R17, R18, R24, R29, R30, R31, R32, R36, R37</t>
  </si>
  <si>
    <t xml:space="preserve">10 kΩ 1%</t>
  </si>
  <si>
    <t xml:space="preserve">0805S8F1002T5E</t>
  </si>
  <si>
    <t xml:space="preserve">0805 resistor</t>
  </si>
  <si>
    <t xml:space="preserve">https://www.ozdisan.com/p/smt-smd-ve-cip-direncler-194/royalohm-0805s8f1002t5e-30240?catSequenceId=194</t>
  </si>
  <si>
    <t xml:space="preserve">R25, R26, R27, R33, R34</t>
  </si>
  <si>
    <t xml:space="preserve">1 kΩ 1%</t>
  </si>
  <si>
    <t xml:space="preserve">RC0805FR-071KL</t>
  </si>
  <si>
    <t xml:space="preserve">https://www.ozdisan.com/p/smt-smd-ve-cip-direncler-194/yageo-rc0805fr-071kl-460155?catSequenceId=194</t>
  </si>
  <si>
    <t xml:space="preserve">R11, R12, R15, R16</t>
  </si>
  <si>
    <t xml:space="preserve">5.1 kΩ 1%</t>
  </si>
  <si>
    <t xml:space="preserve">0805S8F5101T5E</t>
  </si>
  <si>
    <t xml:space="preserve">https://www.ozdisan.com/p/smt-smd-ve-cip-direncler-194/royalohm-0805s8f5101t5e-358456?catSequenceId=194</t>
  </si>
  <si>
    <t xml:space="preserve">USB-C CC pull-downs</t>
  </si>
  <si>
    <t xml:space="preserve">R9, R10, R14</t>
  </si>
  <si>
    <t xml:space="preserve">330 Ω 1%</t>
  </si>
  <si>
    <t xml:space="preserve">0805S8F3300T5E</t>
  </si>
  <si>
    <t xml:space="preserve">https://www.ozdisan.com/p/smt-smd-ve-cip-direncler-194/royalohm-0805s8f3300t5e-36831?catSequenceId=194</t>
  </si>
  <si>
    <t xml:space="preserve">R5, R23</t>
  </si>
  <si>
    <t xml:space="preserve">26.1 kΩ 1%</t>
  </si>
  <si>
    <t xml:space="preserve">0805S8F2612T5E</t>
  </si>
  <si>
    <t xml:space="preserve">https://www.ozdisan.com/p/smt-smd-ve-cip-direncler-194/royalohm-0805s8f2612t5e-505551?catSequenceId=194</t>
  </si>
  <si>
    <t xml:space="preserve">Sets the 1 A current limit (U3, U8)</t>
  </si>
  <si>
    <t xml:space="preserve">R7, R8</t>
  </si>
  <si>
    <t xml:space="preserve">56 kΩ 1%</t>
  </si>
  <si>
    <t xml:space="preserve">0805S8F5602T5E</t>
  </si>
  <si>
    <t xml:space="preserve">https://www.ozdisan.com/p/smt-smd-ve-cip-direncler-194/royalohm-0805s8f5602t5e-340670?catSequenceId=194</t>
  </si>
  <si>
    <t xml:space="preserve">Keyboard-port CC pull-ups</t>
  </si>
  <si>
    <t xml:space="preserve">R19, R21</t>
  </si>
  <si>
    <t xml:space="preserve">22 kΩ 1%</t>
  </si>
  <si>
    <t xml:space="preserve">0805S8F2202T5E</t>
  </si>
  <si>
    <t xml:space="preserve">https://www.ozdisan.com/p/smt-smd-ve-cip-direncler-194/royalohm-0805s8f2202t5e-335040?catSequenceId=194</t>
  </si>
  <si>
    <t xml:space="preserve">VBUS sense divider (top)</t>
  </si>
  <si>
    <t xml:space="preserve">R20, R22</t>
  </si>
  <si>
    <t xml:space="preserve">33 kΩ 1%</t>
  </si>
  <si>
    <t xml:space="preserve">0805S8F3302T5E</t>
  </si>
  <si>
    <t xml:space="preserve">https://www.ozdisan.com/p/smt-smd-ve-cip-direncler-194/royalohm-0805s8f3302t5e-339608?catSequenceId=194</t>
  </si>
  <si>
    <t xml:space="preserve">VBUS sense divider (bottom)</t>
  </si>
  <si>
    <t xml:space="preserve">R2, R28</t>
  </si>
  <si>
    <t xml:space="preserve">100 kΩ 1%</t>
  </si>
  <si>
    <t xml:space="preserve">0805S8F1003T5E</t>
  </si>
  <si>
    <t xml:space="preserve">https://www.ozdisan.com/p/smt-smd-ve-cip-direncler-194/royalohm-0805s8f1003t5e-30244?catSequenceId=194</t>
  </si>
  <si>
    <t xml:space="preserve">R1</t>
  </si>
  <si>
    <t xml:space="preserve">300 kΩ 1%</t>
  </si>
  <si>
    <t xml:space="preserve">0805S8F3003T5E</t>
  </si>
  <si>
    <t xml:space="preserve">TPS2116 PR1 divider (≈4.0 V switchover)</t>
  </si>
  <si>
    <t xml:space="preserve">Mechanical</t>
  </si>
  <si>
    <t xml:space="preserve">—</t>
  </si>
  <si>
    <t xml:space="preserve">Female socket 2.54 mm, 8.5 mm tall (cut from 1×40)</t>
  </si>
  <si>
    <t xml:space="preserve">generic</t>
  </si>
  <si>
    <t xml:space="preserve">motorbit</t>
  </si>
  <si>
    <t xml:space="preserve">https://www.motorobit.com/1x40-disi-header-40-pin-180-derece</t>
  </si>
  <si>
    <t xml:space="preserve">One 1×40 strip gives one 1×20 + one 1×19 (a pin is lost at the cut). Put the 1×19 on the pin 1–20 side, leaving pin 1 or 20 empty: GP0 and GP15 are unused on all three Picos</t>
  </si>
  <si>
    <t xml:space="preserve">Spring probe P50-B1</t>
  </si>
  <si>
    <t xml:space="preserve">P50-B1</t>
  </si>
  <si>
    <t xml:space="preserve">0.68 mm barrel, 16.35 mm</t>
  </si>
  <si>
    <t xml:space="preserve">https://www.motorobit.com/yayli-pogo-p50-b1-test-probu-100-adet</t>
  </si>
  <si>
    <t xml:space="preserve">10 required + 5 optional (GND). Sold as 100-pack; price seen 2026-09-24 — verify</t>
  </si>
  <si>
    <t xml:space="preserve">PCB</t>
  </si>
  <si>
    <t xml:space="preserve">Dock PCB, 2-layer, 100 × 100 mm, 1.6 mm, HASL</t>
  </si>
  <si>
    <t xml:space="preserve">JLCPCB / PCBWay</t>
  </si>
  <si>
    <t xml:space="preserve">JLCPCB</t>
  </si>
  <si>
    <t xml:space="preserve">17.52 USD for 5 boards incl. e-post shipping to my address (JLCPCB quote 2026-09-26). Import taxes not included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</si>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</sst>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TL&quot;"/>
    <numFmt numFmtId="166" formatCode="0.00"/>
    <numFmt numFmtId="167" formatCode="#,##0.00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robotistan.com/raspberry-pi-pico-2-w-header" TargetMode="External"/><Relationship Id="rId3" Type="http://schemas.openxmlformats.org/officeDocument/2006/relationships/hyperlink" Target="https://www.robotistan.com/raspberry-pi-pico-2-header?language=tr&amp;h=7e0eb27a&amp;_sgm_campaign=fcs_c12e1a8d78000&amp;_sgm_source=12938%7Cproduct&amp;_sgm_action=search&amp;_sgm_term=pico&amp;_sgm_pinned=false" TargetMode="External"/><Relationship Id="rId4" Type="http://schemas.openxmlformats.org/officeDocument/2006/relationships/hyperlink" Target="https://www.tme.eu/tr/tr/details/tps2116drlr/analog-coklayicilar-ve-anahtarlar/texas-instruments/" TargetMode="External"/><Relationship Id="rId5" Type="http://schemas.openxmlformats.org/officeDocument/2006/relationships/hyperlink" Target="https://ozdisan.com/integrated-circuits-ics/power-management-ics/power-switches/TPS2553DBVR" TargetMode="External"/><Relationship Id="rId6" Type="http://schemas.openxmlformats.org/officeDocument/2006/relationships/hyperlink" Target="https://ozdisan.com/integrated-circuits-ics/power-management-ics/power-switches/TPS2552DBVR" TargetMode="External"/><Relationship Id="rId7" Type="http://schemas.openxmlformats.org/officeDocument/2006/relationships/hyperlink" Target="https://ozdisan.com/power-semiconductors/diodes-diode-modules-and-rectifiers/tvs-diodes/TPD4E1U06DBVR" TargetMode="External"/><Relationship Id="rId8" Type="http://schemas.openxmlformats.org/officeDocument/2006/relationships/hyperlink" Target="https://www.ozdisan.com/p/usb-konnektorler-357/kls-electronic-l-kls1-5416-l1-01-r-1564461" TargetMode="External"/><Relationship Id="rId9" Type="http://schemas.openxmlformats.org/officeDocument/2006/relationships/hyperlink" Target="https://www.motorobit.com/6-pin-254mm-90c-pogo-pin-magnetic-connector-set-with-ear?srsltid=AU7gw4X13e_PdnJaSYcjqRrRIxg3XB_G7ziLdFPaJnamQ-Cs_lbV83Cm" TargetMode="External"/><Relationship Id="rId10" Type="http://schemas.openxmlformats.org/officeDocument/2006/relationships/hyperlink" Target="https://www.motorobit.com/1x40-erkek-header-40-pin-254mm-180-derece" TargetMode="External"/><Relationship Id="rId11" Type="http://schemas.openxmlformats.org/officeDocument/2006/relationships/hyperlink" Target="https://www.ozdisan.com/passive-components/capacitors/aluminum-capacitors/EEE-FK1E101XP/622893" TargetMode="External"/><Relationship Id="rId12" Type="http://schemas.openxmlformats.org/officeDocument/2006/relationships/hyperlink" Target="https://www.ozdisan.com/p/smt-smd-ve-mlcc-kapasitorler-184/samsung-cl21b105kbfnnne-347740?catSequenceId=184" TargetMode="External"/><Relationship Id="rId13" Type="http://schemas.openxmlformats.org/officeDocument/2006/relationships/hyperlink" Target="https://www.ozdisan.com/p/smt-smd-ve-mlcc-kapasitorler-184/samsung-cl21b104kbcnnnc-14777?catSequenceId=184" TargetMode="External"/><Relationship Id="rId14" Type="http://schemas.openxmlformats.org/officeDocument/2006/relationships/hyperlink" Target="https://www.ozdisan.com/p/smt-smd-ve-cip-direncler-194/royalohm-0805s8f1002t5e-30240?catSequenceId=194" TargetMode="External"/><Relationship Id="rId15" Type="http://schemas.openxmlformats.org/officeDocument/2006/relationships/hyperlink" Target="https://www.ozdisan.com/p/smt-smd-ve-cip-direncler-194/yageo-rc0805fr-071kl-460155?catSequenceId=194" TargetMode="External"/><Relationship Id="rId16" Type="http://schemas.openxmlformats.org/officeDocument/2006/relationships/hyperlink" Target="https://www.ozdisan.com/p/smt-smd-ve-cip-direncler-194/royalohm-0805s8f5101t5e-358456?catSequenceId=194" TargetMode="External"/><Relationship Id="rId17" Type="http://schemas.openxmlformats.org/officeDocument/2006/relationships/hyperlink" Target="https://www.ozdisan.com/p/smt-smd-ve-cip-direncler-194/royalohm-0805s8f3300t5e-36831?catSequenceId=194" TargetMode="External"/><Relationship Id="rId18" Type="http://schemas.openxmlformats.org/officeDocument/2006/relationships/hyperlink" Target="https://www.ozdisan.com/p/smt-smd-ve-cip-direncler-194/royalohm-0805s8f2612t5e-505551?catSequenceId=194" TargetMode="External"/><Relationship Id="rId19" Type="http://schemas.openxmlformats.org/officeDocument/2006/relationships/hyperlink" Target="https://www.ozdisan.com/p/smt-smd-ve-cip-direncler-194/royalohm-0805s8f5602t5e-340670?catSequenceId=194" TargetMode="External"/><Relationship Id="rId20" Type="http://schemas.openxmlformats.org/officeDocument/2006/relationships/hyperlink" Target="https://www.ozdisan.com/p/smt-smd-ve-cip-direncler-194/royalohm-0805s8f2202t5e-335040?catSequenceId=194" TargetMode="External"/><Relationship Id="rId21" Type="http://schemas.openxmlformats.org/officeDocument/2006/relationships/hyperlink" Target="https://www.ozdisan.com/p/smt-smd-ve-cip-direncler-194/royalohm-0805s8f3302t5e-339608?catSequenceId=194" TargetMode="External"/><Relationship Id="rId22" Type="http://schemas.openxmlformats.org/officeDocument/2006/relationships/hyperlink" Target="https://www.ozdisan.com/p/smt-smd-ve-cip-direncler-194/royalohm-0805s8f1003t5e-30244?catSequenceId=194" TargetMode="External"/><Relationship Id="rId23" Type="http://schemas.openxmlformats.org/officeDocument/2006/relationships/hyperlink" Target="https://www.motorobit.com/1x40-disi-header-40-pin-180-derece" TargetMode="External"/><Relationship Id="rId24" Type="http://schemas.openxmlformats.org/officeDocument/2006/relationships/hyperlink" Target="https://www.motorobit.com/yayli-pogo-p50-b1-test-probu-100-adet" TargetMode="External"/><Relationship Id="rId25" Type="http://schemas.openxmlformats.org/officeDocument/2006/relationships/drawing" Target="../drawings/drawing1.xml"/><Relationship Id="rId26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E10" activeCellId="0" sqref="E10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9"/>
    <col collapsed="false" customWidth="true" hidden="false" outlineLevel="0" max="13" min="12" style="0" width="12"/>
    <col collapsed="false" customWidth="true" hidden="false" outlineLevel="0" max="14" min="14" style="0" width="16"/>
    <col collapsed="false" customWidth="true" hidden="false" outlineLevel="0" max="15" min="15" style="0" width="40"/>
    <col collapsed="false" customWidth="true" hidden="false" outlineLevel="0" max="16" min="16" style="0" width="46"/>
    <col collapsed="false" customWidth="true" hidden="false" outlineLevel="0" max="26" min="17" style="0" width="8.5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v>1</v>
      </c>
      <c r="E4" s="3" t="s">
        <v>3</v>
      </c>
    </row>
    <row r="5" customFormat="false" ht="15" hidden="false" customHeight="false" outlineLevel="0" collapsed="false">
      <c r="A5" s="3" t="s">
        <v>4</v>
      </c>
      <c r="C5" s="5" t="n">
        <f aca="false">SUM(M10:M34)</f>
        <v>3499.961</v>
      </c>
      <c r="E5" s="6" t="s">
        <v>5</v>
      </c>
    </row>
    <row r="6" customFormat="false" ht="15" hidden="false" customHeight="false" outlineLevel="0" collapsed="false">
      <c r="A6" s="3" t="s">
        <v>6</v>
      </c>
      <c r="C6" s="3" t="n">
        <f aca="false">COUNT(L10:L34)</f>
        <v>25</v>
      </c>
      <c r="E6" s="6" t="s">
        <v>7</v>
      </c>
    </row>
    <row r="7" customFormat="false" ht="15" hidden="false" customHeight="false" outlineLevel="0" collapsed="false">
      <c r="A7" s="3" t="s">
        <v>8</v>
      </c>
      <c r="C7" s="3" t="n">
        <f aca="false">COUNTBLANK(L10:L34)</f>
        <v>0</v>
      </c>
      <c r="E7" s="6" t="s">
        <v>9</v>
      </c>
    </row>
    <row r="8" customFormat="false" ht="15" hidden="false" customHeight="false" outlineLevel="0" collapsed="false">
      <c r="A8" s="3" t="s">
        <v>10</v>
      </c>
      <c r="C8" s="7" t="n">
        <v>48.92</v>
      </c>
    </row>
    <row r="9" customFormat="false" ht="30" hidden="false" customHeight="true" outlineLevel="0" collapsed="false">
      <c r="A9" s="8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 t="s">
        <v>25</v>
      </c>
      <c r="P9" s="8" t="s">
        <v>26</v>
      </c>
    </row>
    <row r="10" customFormat="false" ht="23.85" hidden="false" customHeight="false" outlineLevel="0" collapsed="false">
      <c r="A10" s="9" t="n">
        <v>1</v>
      </c>
      <c r="B10" s="10" t="s">
        <v>27</v>
      </c>
      <c r="C10" s="11" t="s">
        <v>28</v>
      </c>
      <c r="D10" s="11" t="s">
        <v>29</v>
      </c>
      <c r="E10" s="11" t="s">
        <v>30</v>
      </c>
      <c r="F10" s="11" t="s">
        <v>31</v>
      </c>
      <c r="G10" s="12" t="n">
        <v>1</v>
      </c>
      <c r="H10" s="13" t="n">
        <v>0</v>
      </c>
      <c r="I10" s="9" t="n">
        <f aca="false">G10*$C$4+H10</f>
        <v>1</v>
      </c>
      <c r="J10" s="13" t="n">
        <v>1</v>
      </c>
      <c r="K10" s="9" t="n">
        <f aca="false">IF(I10&lt;=0,0,ROUNDUP(I10/J10,0))</f>
        <v>1</v>
      </c>
      <c r="L10" s="14" t="n">
        <v>559.61</v>
      </c>
      <c r="M10" s="15" t="n">
        <f aca="false">IF(L10="","",K10*L10)</f>
        <v>559.61</v>
      </c>
      <c r="N10" s="16" t="s">
        <v>32</v>
      </c>
      <c r="O10" s="17" t="s">
        <v>33</v>
      </c>
      <c r="P10" s="18" t="s">
        <v>34</v>
      </c>
    </row>
    <row r="11" customFormat="false" ht="15" hidden="false" customHeight="false" outlineLevel="0" collapsed="false">
      <c r="A11" s="9" t="n">
        <v>2</v>
      </c>
      <c r="B11" s="9" t="s">
        <v>27</v>
      </c>
      <c r="C11" s="11" t="s">
        <v>35</v>
      </c>
      <c r="D11" s="11" t="s">
        <v>36</v>
      </c>
      <c r="E11" s="11" t="s">
        <v>37</v>
      </c>
      <c r="F11" s="11" t="s">
        <v>31</v>
      </c>
      <c r="G11" s="12" t="n">
        <v>2</v>
      </c>
      <c r="H11" s="13" t="n">
        <v>0</v>
      </c>
      <c r="I11" s="9" t="n">
        <f aca="false">G11*$C$4+H11</f>
        <v>2</v>
      </c>
      <c r="J11" s="13" t="n">
        <v>1</v>
      </c>
      <c r="K11" s="9" t="n">
        <f aca="false">IF(I11&lt;=0,0,ROUNDUP(I11/J11,0))</f>
        <v>2</v>
      </c>
      <c r="L11" s="14" t="n">
        <v>416.24</v>
      </c>
      <c r="M11" s="15" t="n">
        <f aca="false">IF(L11="","",K11*L11)</f>
        <v>832.48</v>
      </c>
      <c r="N11" s="16" t="s">
        <v>32</v>
      </c>
      <c r="O11" s="17" t="s">
        <v>38</v>
      </c>
      <c r="P11" s="18" t="s">
        <v>39</v>
      </c>
    </row>
    <row r="12" customFormat="false" ht="23.85" hidden="false" customHeight="false" outlineLevel="0" collapsed="false">
      <c r="A12" s="9" t="n">
        <v>3</v>
      </c>
      <c r="B12" s="10" t="s">
        <v>40</v>
      </c>
      <c r="C12" s="11" t="s">
        <v>41</v>
      </c>
      <c r="D12" s="11" t="s">
        <v>42</v>
      </c>
      <c r="E12" s="11" t="s">
        <v>43</v>
      </c>
      <c r="F12" s="11" t="s">
        <v>44</v>
      </c>
      <c r="G12" s="12" t="n">
        <v>1</v>
      </c>
      <c r="H12" s="13" t="n">
        <v>4</v>
      </c>
      <c r="I12" s="9" t="n">
        <f aca="false">G12*$C$4+H12</f>
        <v>5</v>
      </c>
      <c r="J12" s="13" t="n">
        <v>1</v>
      </c>
      <c r="K12" s="9" t="n">
        <f aca="false">IF(I12&lt;=0,0,ROUNDUP(I12/J12,0))</f>
        <v>5</v>
      </c>
      <c r="L12" s="14" t="n">
        <v>34.31</v>
      </c>
      <c r="M12" s="15" t="n">
        <f aca="false">IF(L12="","",K12*L12)</f>
        <v>171.55</v>
      </c>
      <c r="N12" s="16" t="s">
        <v>45</v>
      </c>
      <c r="O12" s="19" t="s">
        <v>46</v>
      </c>
      <c r="P12" s="18" t="s">
        <v>47</v>
      </c>
    </row>
    <row r="13" customFormat="false" ht="15" hidden="false" customHeight="false" outlineLevel="0" collapsed="false">
      <c r="A13" s="9" t="n">
        <v>4</v>
      </c>
      <c r="B13" s="9" t="s">
        <v>40</v>
      </c>
      <c r="C13" s="11" t="s">
        <v>48</v>
      </c>
      <c r="D13" s="11" t="s">
        <v>49</v>
      </c>
      <c r="E13" s="11" t="s">
        <v>50</v>
      </c>
      <c r="F13" s="11" t="s">
        <v>51</v>
      </c>
      <c r="G13" s="12" t="n">
        <v>1</v>
      </c>
      <c r="H13" s="13" t="n">
        <v>1</v>
      </c>
      <c r="I13" s="9" t="n">
        <f aca="false">G13*$C$4+H13</f>
        <v>2</v>
      </c>
      <c r="J13" s="13" t="n">
        <v>1</v>
      </c>
      <c r="K13" s="9" t="n">
        <f aca="false">IF(I13&lt;=0,0,ROUNDUP(I13/J13,0))</f>
        <v>2</v>
      </c>
      <c r="L13" s="20" t="n">
        <v>26.81</v>
      </c>
      <c r="M13" s="15" t="n">
        <f aca="false">IF(L13="","",K13*L13)</f>
        <v>53.62</v>
      </c>
      <c r="N13" s="16" t="s">
        <v>52</v>
      </c>
      <c r="O13" s="19" t="s">
        <v>53</v>
      </c>
      <c r="P13" s="18" t="s">
        <v>54</v>
      </c>
    </row>
    <row r="14" customFormat="false" ht="23.85" hidden="false" customHeight="false" outlineLevel="0" collapsed="false">
      <c r="A14" s="9" t="n">
        <v>5</v>
      </c>
      <c r="B14" s="9" t="s">
        <v>40</v>
      </c>
      <c r="C14" s="11" t="s">
        <v>55</v>
      </c>
      <c r="D14" s="11" t="s">
        <v>56</v>
      </c>
      <c r="E14" s="11" t="s">
        <v>57</v>
      </c>
      <c r="F14" s="11" t="s">
        <v>51</v>
      </c>
      <c r="G14" s="12" t="n">
        <v>1</v>
      </c>
      <c r="H14" s="13" t="n">
        <v>1</v>
      </c>
      <c r="I14" s="9" t="n">
        <f aca="false">G14*$C$4+H14</f>
        <v>2</v>
      </c>
      <c r="J14" s="13" t="n">
        <v>1</v>
      </c>
      <c r="K14" s="9" t="n">
        <f aca="false">IF(I14&lt;=0,0,ROUNDUP(I14/J14,0))</f>
        <v>2</v>
      </c>
      <c r="L14" s="20" t="n">
        <v>27.02</v>
      </c>
      <c r="M14" s="15" t="n">
        <f aca="false">IF(L14="","",K14*L14)</f>
        <v>54.04</v>
      </c>
      <c r="N14" s="16" t="s">
        <v>52</v>
      </c>
      <c r="O14" s="19" t="s">
        <v>58</v>
      </c>
      <c r="P14" s="18" t="s">
        <v>59</v>
      </c>
    </row>
    <row r="15" customFormat="false" ht="15" hidden="false" customHeight="false" outlineLevel="0" collapsed="false">
      <c r="A15" s="9" t="n">
        <v>6</v>
      </c>
      <c r="B15" s="9" t="s">
        <v>40</v>
      </c>
      <c r="C15" s="11" t="s">
        <v>60</v>
      </c>
      <c r="D15" s="11" t="s">
        <v>61</v>
      </c>
      <c r="E15" s="11" t="s">
        <v>62</v>
      </c>
      <c r="F15" s="11" t="s">
        <v>51</v>
      </c>
      <c r="G15" s="12" t="n">
        <v>4</v>
      </c>
      <c r="H15" s="13" t="n">
        <v>2</v>
      </c>
      <c r="I15" s="9" t="n">
        <f aca="false">G15*$C$4+H15</f>
        <v>6</v>
      </c>
      <c r="J15" s="13" t="n">
        <v>1</v>
      </c>
      <c r="K15" s="9" t="n">
        <f aca="false">IF(I15&lt;=0,0,ROUNDUP(I15/J15,0))</f>
        <v>6</v>
      </c>
      <c r="L15" s="20" t="n">
        <v>11.88</v>
      </c>
      <c r="M15" s="15" t="n">
        <f aca="false">IF(L15="","",K15*L15)</f>
        <v>71.28</v>
      </c>
      <c r="N15" s="16" t="s">
        <v>52</v>
      </c>
      <c r="O15" s="19" t="s">
        <v>63</v>
      </c>
      <c r="P15" s="18" t="s">
        <v>54</v>
      </c>
    </row>
    <row r="16" customFormat="false" ht="15" hidden="false" customHeight="false" outlineLevel="0" collapsed="false">
      <c r="A16" s="9" t="n">
        <v>7</v>
      </c>
      <c r="B16" s="10" t="s">
        <v>64</v>
      </c>
      <c r="C16" s="11" t="s">
        <v>65</v>
      </c>
      <c r="D16" s="11" t="s">
        <v>66</v>
      </c>
      <c r="E16" s="11" t="s">
        <v>67</v>
      </c>
      <c r="F16" s="11" t="s">
        <v>68</v>
      </c>
      <c r="G16" s="12" t="n">
        <v>3</v>
      </c>
      <c r="H16" s="13" t="n">
        <v>2</v>
      </c>
      <c r="I16" s="9" t="n">
        <f aca="false">G16*$C$4+H16</f>
        <v>5</v>
      </c>
      <c r="J16" s="13" t="n">
        <v>1</v>
      </c>
      <c r="K16" s="9" t="n">
        <f aca="false">IF(I16&lt;=0,0,ROUNDUP(I16/J16,0))</f>
        <v>5</v>
      </c>
      <c r="L16" s="14" t="n">
        <v>4.164</v>
      </c>
      <c r="M16" s="15" t="n">
        <f aca="false">IF(L16="","",K16*L16)</f>
        <v>20.82</v>
      </c>
      <c r="N16" s="16" t="s">
        <v>52</v>
      </c>
      <c r="O16" s="17" t="s">
        <v>69</v>
      </c>
      <c r="P16" s="18" t="s">
        <v>70</v>
      </c>
    </row>
    <row r="17" customFormat="false" ht="23.85" hidden="false" customHeight="false" outlineLevel="0" collapsed="false">
      <c r="A17" s="9" t="n">
        <v>8</v>
      </c>
      <c r="B17" s="9" t="s">
        <v>64</v>
      </c>
      <c r="C17" s="11" t="s">
        <v>71</v>
      </c>
      <c r="D17" s="11" t="s">
        <v>72</v>
      </c>
      <c r="E17" s="11" t="s">
        <v>73</v>
      </c>
      <c r="F17" s="11" t="s">
        <v>74</v>
      </c>
      <c r="G17" s="12" t="n">
        <v>1</v>
      </c>
      <c r="H17" s="13" t="n">
        <v>0</v>
      </c>
      <c r="I17" s="9" t="n">
        <f aca="false">G17*$C$4+H17</f>
        <v>1</v>
      </c>
      <c r="J17" s="13" t="n">
        <v>1</v>
      </c>
      <c r="K17" s="9" t="n">
        <f aca="false">IF(I17&lt;=0,0,ROUNDUP(I17/J17,0))</f>
        <v>1</v>
      </c>
      <c r="L17" s="14" t="n">
        <v>360</v>
      </c>
      <c r="M17" s="15" t="n">
        <f aca="false">IF(L17="","",K17*L17)</f>
        <v>360</v>
      </c>
      <c r="N17" s="16" t="s">
        <v>75</v>
      </c>
      <c r="O17" s="17" t="s">
        <v>76</v>
      </c>
      <c r="P17" s="18" t="s">
        <v>77</v>
      </c>
    </row>
    <row r="18" customFormat="false" ht="15" hidden="false" customHeight="false" outlineLevel="0" collapsed="false">
      <c r="A18" s="9" t="n">
        <v>9</v>
      </c>
      <c r="B18" s="9" t="s">
        <v>64</v>
      </c>
      <c r="C18" s="11" t="s">
        <v>78</v>
      </c>
      <c r="D18" s="11" t="s">
        <v>79</v>
      </c>
      <c r="E18" s="11" t="s">
        <v>80</v>
      </c>
      <c r="F18" s="11" t="s">
        <v>81</v>
      </c>
      <c r="G18" s="12" t="n">
        <v>3</v>
      </c>
      <c r="H18" s="13" t="n">
        <v>0</v>
      </c>
      <c r="I18" s="9" t="n">
        <f aca="false">G18*$C$4+H18</f>
        <v>3</v>
      </c>
      <c r="J18" s="13" t="n">
        <v>8</v>
      </c>
      <c r="K18" s="9" t="n">
        <f aca="false">IF(I18&lt;=0,0,ROUNDUP(I18/J18,0))</f>
        <v>1</v>
      </c>
      <c r="L18" s="16" t="n">
        <v>3.6</v>
      </c>
      <c r="M18" s="15" t="n">
        <f aca="false">IF(L18="","",K18*L18)</f>
        <v>3.6</v>
      </c>
      <c r="N18" s="16" t="s">
        <v>75</v>
      </c>
      <c r="O18" s="17" t="s">
        <v>82</v>
      </c>
      <c r="P18" s="18" t="s">
        <v>83</v>
      </c>
    </row>
    <row r="19" customFormat="false" ht="23.85" hidden="false" customHeight="false" outlineLevel="0" collapsed="false">
      <c r="A19" s="9" t="n">
        <v>10</v>
      </c>
      <c r="B19" s="10" t="s">
        <v>84</v>
      </c>
      <c r="C19" s="11" t="s">
        <v>85</v>
      </c>
      <c r="D19" s="11" t="s">
        <v>86</v>
      </c>
      <c r="E19" s="11" t="s">
        <v>87</v>
      </c>
      <c r="F19" s="11" t="s">
        <v>88</v>
      </c>
      <c r="G19" s="12" t="n">
        <v>4</v>
      </c>
      <c r="H19" s="13" t="n">
        <v>1</v>
      </c>
      <c r="I19" s="9" t="n">
        <f aca="false">G19*$C$4+H19</f>
        <v>5</v>
      </c>
      <c r="J19" s="13" t="n">
        <v>1</v>
      </c>
      <c r="K19" s="9" t="n">
        <f aca="false">IF(I19&lt;=0,0,ROUNDUP(I19/J19,0))</f>
        <v>5</v>
      </c>
      <c r="L19" s="14" t="n">
        <v>14.33</v>
      </c>
      <c r="M19" s="15" t="n">
        <f aca="false">IF(L19="","",K19*L19)</f>
        <v>71.65</v>
      </c>
      <c r="N19" s="16" t="s">
        <v>52</v>
      </c>
      <c r="O19" s="19" t="s">
        <v>89</v>
      </c>
      <c r="P19" s="18" t="s">
        <v>90</v>
      </c>
    </row>
    <row r="20" customFormat="false" ht="15" hidden="false" customHeight="false" outlineLevel="0" collapsed="false">
      <c r="A20" s="9" t="n">
        <v>11</v>
      </c>
      <c r="B20" s="9" t="s">
        <v>84</v>
      </c>
      <c r="C20" s="11" t="s">
        <v>91</v>
      </c>
      <c r="D20" s="11" t="s">
        <v>92</v>
      </c>
      <c r="E20" s="11" t="s">
        <v>93</v>
      </c>
      <c r="F20" s="11" t="s">
        <v>94</v>
      </c>
      <c r="G20" s="12" t="n">
        <v>7</v>
      </c>
      <c r="H20" s="13" t="n">
        <v>13</v>
      </c>
      <c r="I20" s="9" t="n">
        <f aca="false">G20*$C$4+H20</f>
        <v>20</v>
      </c>
      <c r="J20" s="13" t="n">
        <v>1</v>
      </c>
      <c r="K20" s="9" t="n">
        <f aca="false">IF(I20&lt;=0,0,ROUNDUP(I20/J20,0))</f>
        <v>20</v>
      </c>
      <c r="L20" s="14" t="n">
        <v>1.26923</v>
      </c>
      <c r="M20" s="15" t="n">
        <f aca="false">IF(L20="","",K20*L20)</f>
        <v>25.3846</v>
      </c>
      <c r="N20" s="16" t="s">
        <v>52</v>
      </c>
      <c r="O20" s="17" t="s">
        <v>95</v>
      </c>
      <c r="P20" s="18"/>
    </row>
    <row r="21" customFormat="false" ht="15.75" hidden="false" customHeight="true" outlineLevel="0" collapsed="false">
      <c r="A21" s="9" t="n">
        <v>12</v>
      </c>
      <c r="B21" s="9" t="s">
        <v>84</v>
      </c>
      <c r="C21" s="11" t="s">
        <v>96</v>
      </c>
      <c r="D21" s="11" t="s">
        <v>97</v>
      </c>
      <c r="E21" s="11" t="s">
        <v>98</v>
      </c>
      <c r="F21" s="11" t="s">
        <v>94</v>
      </c>
      <c r="G21" s="12" t="n">
        <v>3</v>
      </c>
      <c r="H21" s="13" t="n">
        <v>17</v>
      </c>
      <c r="I21" s="9" t="n">
        <f aca="false">G21*$C$4+H21</f>
        <v>20</v>
      </c>
      <c r="J21" s="13" t="n">
        <v>1</v>
      </c>
      <c r="K21" s="9" t="n">
        <f aca="false">IF(I21&lt;=0,0,ROUNDUP(I21/J21,0))</f>
        <v>20</v>
      </c>
      <c r="L21" s="14" t="n">
        <v>0.5274</v>
      </c>
      <c r="M21" s="15" t="n">
        <f aca="false">IF(L21="","",K21*L21)</f>
        <v>10.548</v>
      </c>
      <c r="N21" s="16" t="s">
        <v>52</v>
      </c>
      <c r="O21" s="17" t="s">
        <v>99</v>
      </c>
      <c r="P21" s="18" t="s">
        <v>100</v>
      </c>
    </row>
    <row r="22" customFormat="false" ht="15.75" hidden="false" customHeight="true" outlineLevel="0" collapsed="false">
      <c r="A22" s="9" t="n">
        <v>13</v>
      </c>
      <c r="B22" s="10" t="s">
        <v>101</v>
      </c>
      <c r="C22" s="11" t="s">
        <v>102</v>
      </c>
      <c r="D22" s="11" t="s">
        <v>103</v>
      </c>
      <c r="E22" s="11" t="s">
        <v>104</v>
      </c>
      <c r="F22" s="11" t="s">
        <v>105</v>
      </c>
      <c r="G22" s="12" t="n">
        <v>12</v>
      </c>
      <c r="H22" s="13" t="n">
        <v>3</v>
      </c>
      <c r="I22" s="9" t="n">
        <f aca="false">G22*$C$4+H22</f>
        <v>15</v>
      </c>
      <c r="J22" s="13" t="n">
        <v>100</v>
      </c>
      <c r="K22" s="9" t="n">
        <f aca="false">IF(I22&lt;=0,0,ROUNDUP(I22/J22,0))</f>
        <v>1</v>
      </c>
      <c r="L22" s="14" t="n">
        <v>10.68</v>
      </c>
      <c r="M22" s="15" t="n">
        <f aca="false">IF(L22="","",K22*L22)</f>
        <v>10.68</v>
      </c>
      <c r="N22" s="16" t="s">
        <v>52</v>
      </c>
      <c r="O22" s="17" t="s">
        <v>106</v>
      </c>
      <c r="P22" s="18"/>
    </row>
    <row r="23" customFormat="false" ht="15.75" hidden="false" customHeight="true" outlineLevel="0" collapsed="false">
      <c r="A23" s="9" t="n">
        <v>14</v>
      </c>
      <c r="B23" s="9" t="s">
        <v>101</v>
      </c>
      <c r="C23" s="11" t="s">
        <v>107</v>
      </c>
      <c r="D23" s="11" t="s">
        <v>108</v>
      </c>
      <c r="E23" s="11" t="s">
        <v>109</v>
      </c>
      <c r="F23" s="11" t="s">
        <v>105</v>
      </c>
      <c r="G23" s="12" t="n">
        <v>5</v>
      </c>
      <c r="H23" s="13" t="n">
        <v>2</v>
      </c>
      <c r="I23" s="9" t="n">
        <f aca="false">G23*$C$4+H23</f>
        <v>7</v>
      </c>
      <c r="J23" s="13" t="n">
        <v>50</v>
      </c>
      <c r="K23" s="9" t="n">
        <f aca="false">IF(I23&lt;=0,0,ROUNDUP(I23/J23,0))</f>
        <v>1</v>
      </c>
      <c r="L23" s="14" t="n">
        <v>12.6</v>
      </c>
      <c r="M23" s="15" t="n">
        <f aca="false">IF(L23="","",K23*L23)</f>
        <v>12.6</v>
      </c>
      <c r="N23" s="16" t="s">
        <v>52</v>
      </c>
      <c r="O23" s="17" t="s">
        <v>110</v>
      </c>
      <c r="P23" s="18"/>
    </row>
    <row r="24" customFormat="false" ht="15.75" hidden="false" customHeight="true" outlineLevel="0" collapsed="false">
      <c r="A24" s="9" t="n">
        <v>15</v>
      </c>
      <c r="B24" s="9" t="s">
        <v>101</v>
      </c>
      <c r="C24" s="11" t="s">
        <v>111</v>
      </c>
      <c r="D24" s="11" t="s">
        <v>112</v>
      </c>
      <c r="E24" s="11" t="s">
        <v>113</v>
      </c>
      <c r="F24" s="11" t="s">
        <v>105</v>
      </c>
      <c r="G24" s="12" t="n">
        <v>4</v>
      </c>
      <c r="H24" s="13" t="n">
        <v>2</v>
      </c>
      <c r="I24" s="9" t="n">
        <f aca="false">G24*$C$4+H24</f>
        <v>6</v>
      </c>
      <c r="J24" s="13" t="n">
        <v>100</v>
      </c>
      <c r="K24" s="9" t="n">
        <f aca="false">IF(I24&lt;=0,0,ROUNDUP(I24/J24,0))</f>
        <v>1</v>
      </c>
      <c r="L24" s="14" t="n">
        <v>10.68</v>
      </c>
      <c r="M24" s="15" t="n">
        <f aca="false">IF(L24="","",K24*L24)</f>
        <v>10.68</v>
      </c>
      <c r="N24" s="16" t="s">
        <v>52</v>
      </c>
      <c r="O24" s="17" t="s">
        <v>114</v>
      </c>
      <c r="P24" s="18" t="s">
        <v>115</v>
      </c>
    </row>
    <row r="25" customFormat="false" ht="15.75" hidden="false" customHeight="true" outlineLevel="0" collapsed="false">
      <c r="A25" s="9" t="n">
        <v>16</v>
      </c>
      <c r="B25" s="9" t="s">
        <v>101</v>
      </c>
      <c r="C25" s="11" t="s">
        <v>116</v>
      </c>
      <c r="D25" s="11" t="s">
        <v>117</v>
      </c>
      <c r="E25" s="11" t="s">
        <v>118</v>
      </c>
      <c r="F25" s="11" t="s">
        <v>105</v>
      </c>
      <c r="G25" s="12" t="n">
        <v>3</v>
      </c>
      <c r="H25" s="13" t="n">
        <v>2</v>
      </c>
      <c r="I25" s="9" t="n">
        <f aca="false">G25*$C$4+H25</f>
        <v>5</v>
      </c>
      <c r="J25" s="13" t="n">
        <v>100</v>
      </c>
      <c r="K25" s="9" t="n">
        <f aca="false">IF(I25&lt;=0,0,ROUNDUP(I25/J25,0))</f>
        <v>1</v>
      </c>
      <c r="L25" s="14" t="n">
        <v>10.68</v>
      </c>
      <c r="M25" s="15" t="n">
        <f aca="false">IF(L25="","",K25*L25)</f>
        <v>10.68</v>
      </c>
      <c r="N25" s="16" t="s">
        <v>52</v>
      </c>
      <c r="O25" s="17" t="s">
        <v>119</v>
      </c>
      <c r="P25" s="18"/>
    </row>
    <row r="26" customFormat="false" ht="15.75" hidden="false" customHeight="true" outlineLevel="0" collapsed="false">
      <c r="A26" s="9" t="n">
        <v>17</v>
      </c>
      <c r="B26" s="9" t="s">
        <v>101</v>
      </c>
      <c r="C26" s="11" t="s">
        <v>120</v>
      </c>
      <c r="D26" s="11" t="s">
        <v>121</v>
      </c>
      <c r="E26" s="11" t="s">
        <v>122</v>
      </c>
      <c r="F26" s="11" t="s">
        <v>105</v>
      </c>
      <c r="G26" s="12" t="n">
        <v>2</v>
      </c>
      <c r="H26" s="13" t="n">
        <v>2</v>
      </c>
      <c r="I26" s="9" t="n">
        <f aca="false">G26*$C$4+H26</f>
        <v>4</v>
      </c>
      <c r="J26" s="13" t="n">
        <v>100</v>
      </c>
      <c r="K26" s="9" t="n">
        <f aca="false">IF(I26&lt;=0,0,ROUNDUP(I26/J26,0))</f>
        <v>1</v>
      </c>
      <c r="L26" s="14" t="n">
        <v>7.26</v>
      </c>
      <c r="M26" s="15" t="n">
        <f aca="false">IF(L26="","",K26*L26)</f>
        <v>7.26</v>
      </c>
      <c r="N26" s="16" t="s">
        <v>52</v>
      </c>
      <c r="O26" s="17" t="s">
        <v>123</v>
      </c>
      <c r="P26" s="18" t="s">
        <v>124</v>
      </c>
    </row>
    <row r="27" customFormat="false" ht="15.75" hidden="false" customHeight="true" outlineLevel="0" collapsed="false">
      <c r="A27" s="9" t="n">
        <v>18</v>
      </c>
      <c r="B27" s="9" t="s">
        <v>101</v>
      </c>
      <c r="C27" s="11" t="s">
        <v>125</v>
      </c>
      <c r="D27" s="11" t="s">
        <v>126</v>
      </c>
      <c r="E27" s="11" t="s">
        <v>127</v>
      </c>
      <c r="F27" s="11" t="s">
        <v>105</v>
      </c>
      <c r="G27" s="12" t="n">
        <v>2</v>
      </c>
      <c r="H27" s="13" t="n">
        <v>2</v>
      </c>
      <c r="I27" s="9" t="n">
        <f aca="false">G27*$C$4+H27</f>
        <v>4</v>
      </c>
      <c r="J27" s="13" t="n">
        <v>100</v>
      </c>
      <c r="K27" s="9" t="n">
        <f aca="false">IF(I27&lt;=0,0,ROUNDUP(I27/J27,0))</f>
        <v>1</v>
      </c>
      <c r="L27" s="14" t="n">
        <v>10.68</v>
      </c>
      <c r="M27" s="15" t="n">
        <f aca="false">IF(L27="","",K27*L27)</f>
        <v>10.68</v>
      </c>
      <c r="N27" s="16" t="s">
        <v>52</v>
      </c>
      <c r="O27" s="17" t="s">
        <v>128</v>
      </c>
      <c r="P27" s="18" t="s">
        <v>129</v>
      </c>
    </row>
    <row r="28" customFormat="false" ht="15.75" hidden="false" customHeight="true" outlineLevel="0" collapsed="false">
      <c r="A28" s="9" t="n">
        <v>19</v>
      </c>
      <c r="B28" s="9" t="s">
        <v>101</v>
      </c>
      <c r="C28" s="11" t="s">
        <v>130</v>
      </c>
      <c r="D28" s="11" t="s">
        <v>131</v>
      </c>
      <c r="E28" s="11" t="s">
        <v>132</v>
      </c>
      <c r="F28" s="11" t="s">
        <v>105</v>
      </c>
      <c r="G28" s="12" t="n">
        <v>2</v>
      </c>
      <c r="H28" s="13" t="n">
        <v>2</v>
      </c>
      <c r="I28" s="9" t="n">
        <f aca="false">G28*$C$4+H28</f>
        <v>4</v>
      </c>
      <c r="J28" s="13" t="n">
        <v>100</v>
      </c>
      <c r="K28" s="9" t="n">
        <f aca="false">IF(I28&lt;=0,0,ROUNDUP(I28/J28,0))</f>
        <v>1</v>
      </c>
      <c r="L28" s="14" t="n">
        <v>10.68</v>
      </c>
      <c r="M28" s="15" t="n">
        <f aca="false">IF(L28="","",K28*L28)</f>
        <v>10.68</v>
      </c>
      <c r="N28" s="16" t="s">
        <v>52</v>
      </c>
      <c r="O28" s="17" t="s">
        <v>133</v>
      </c>
      <c r="P28" s="18" t="s">
        <v>134</v>
      </c>
    </row>
    <row r="29" customFormat="false" ht="15.75" hidden="false" customHeight="true" outlineLevel="0" collapsed="false">
      <c r="A29" s="9" t="n">
        <v>20</v>
      </c>
      <c r="B29" s="9" t="s">
        <v>101</v>
      </c>
      <c r="C29" s="11" t="s">
        <v>135</v>
      </c>
      <c r="D29" s="11" t="s">
        <v>136</v>
      </c>
      <c r="E29" s="11" t="s">
        <v>137</v>
      </c>
      <c r="F29" s="11" t="s">
        <v>105</v>
      </c>
      <c r="G29" s="12" t="n">
        <v>2</v>
      </c>
      <c r="H29" s="13" t="n">
        <v>2</v>
      </c>
      <c r="I29" s="9" t="n">
        <f aca="false">G29*$C$4+H29</f>
        <v>4</v>
      </c>
      <c r="J29" s="13" t="n">
        <v>100</v>
      </c>
      <c r="K29" s="9" t="n">
        <f aca="false">IF(I29&lt;=0,0,ROUNDUP(I29/J29,0))</f>
        <v>1</v>
      </c>
      <c r="L29" s="14" t="n">
        <v>10.68</v>
      </c>
      <c r="M29" s="15" t="n">
        <f aca="false">IF(L29="","",K29*L29)</f>
        <v>10.68</v>
      </c>
      <c r="N29" s="16" t="s">
        <v>52</v>
      </c>
      <c r="O29" s="17" t="s">
        <v>138</v>
      </c>
      <c r="P29" s="18" t="s">
        <v>139</v>
      </c>
    </row>
    <row r="30" customFormat="false" ht="15.75" hidden="false" customHeight="true" outlineLevel="0" collapsed="false">
      <c r="A30" s="9" t="n">
        <v>21</v>
      </c>
      <c r="B30" s="9" t="s">
        <v>101</v>
      </c>
      <c r="C30" s="11" t="s">
        <v>140</v>
      </c>
      <c r="D30" s="11" t="s">
        <v>141</v>
      </c>
      <c r="E30" s="11" t="s">
        <v>142</v>
      </c>
      <c r="F30" s="11" t="s">
        <v>105</v>
      </c>
      <c r="G30" s="12" t="n">
        <v>2</v>
      </c>
      <c r="H30" s="13" t="n">
        <v>2</v>
      </c>
      <c r="I30" s="9" t="n">
        <f aca="false">G30*$C$4+H30</f>
        <v>4</v>
      </c>
      <c r="J30" s="13" t="n">
        <v>100</v>
      </c>
      <c r="K30" s="9" t="n">
        <f aca="false">IF(I30&lt;=0,0,ROUNDUP(I30/J30,0))</f>
        <v>1</v>
      </c>
      <c r="L30" s="14" t="n">
        <v>10.68</v>
      </c>
      <c r="M30" s="15" t="n">
        <f aca="false">IF(L30="","",K30*L30)</f>
        <v>10.68</v>
      </c>
      <c r="N30" s="16" t="s">
        <v>52</v>
      </c>
      <c r="O30" s="17" t="s">
        <v>143</v>
      </c>
      <c r="P30" s="18"/>
    </row>
    <row r="31" customFormat="false" ht="15.75" hidden="false" customHeight="true" outlineLevel="0" collapsed="false">
      <c r="A31" s="9" t="n">
        <v>22</v>
      </c>
      <c r="B31" s="9" t="s">
        <v>101</v>
      </c>
      <c r="C31" s="11" t="s">
        <v>144</v>
      </c>
      <c r="D31" s="11" t="s">
        <v>145</v>
      </c>
      <c r="E31" s="11" t="s">
        <v>146</v>
      </c>
      <c r="F31" s="11" t="s">
        <v>105</v>
      </c>
      <c r="G31" s="12" t="n">
        <v>1</v>
      </c>
      <c r="H31" s="13" t="n">
        <v>2</v>
      </c>
      <c r="I31" s="9" t="n">
        <f aca="false">G31*$C$4+H31</f>
        <v>3</v>
      </c>
      <c r="J31" s="13" t="n">
        <v>100</v>
      </c>
      <c r="K31" s="9" t="n">
        <f aca="false">IF(I31&lt;=0,0,ROUNDUP(I31/J31,0))</f>
        <v>1</v>
      </c>
      <c r="L31" s="14" t="n">
        <v>10.68</v>
      </c>
      <c r="M31" s="15" t="n">
        <f aca="false">IF(L31="","",K31*L31)</f>
        <v>10.68</v>
      </c>
      <c r="N31" s="16" t="s">
        <v>52</v>
      </c>
      <c r="O31" s="16"/>
      <c r="P31" s="18" t="s">
        <v>147</v>
      </c>
    </row>
    <row r="32" customFormat="false" ht="15.75" hidden="false" customHeight="true" outlineLevel="0" collapsed="false">
      <c r="A32" s="9" t="n">
        <v>23</v>
      </c>
      <c r="B32" s="10" t="s">
        <v>148</v>
      </c>
      <c r="C32" s="11" t="s">
        <v>149</v>
      </c>
      <c r="D32" s="11" t="s">
        <v>150</v>
      </c>
      <c r="E32" s="11" t="s">
        <v>151</v>
      </c>
      <c r="F32" s="11" t="s">
        <v>81</v>
      </c>
      <c r="G32" s="12" t="n">
        <v>6</v>
      </c>
      <c r="H32" s="13" t="n">
        <v>3</v>
      </c>
      <c r="I32" s="9" t="n">
        <f aca="false">G32*$C$4+H32</f>
        <v>9</v>
      </c>
      <c r="J32" s="13" t="n">
        <v>2</v>
      </c>
      <c r="K32" s="9" t="n">
        <f aca="false">IF(I32&lt;=0,0,ROUNDUP(I32/J32,0))</f>
        <v>5</v>
      </c>
      <c r="L32" s="14" t="n">
        <v>6.6</v>
      </c>
      <c r="M32" s="15" t="n">
        <f aca="false">IF(L32="","",K32*L32)</f>
        <v>33</v>
      </c>
      <c r="N32" s="16" t="s">
        <v>152</v>
      </c>
      <c r="O32" s="17" t="s">
        <v>153</v>
      </c>
      <c r="P32" s="18" t="s">
        <v>154</v>
      </c>
    </row>
    <row r="33" customFormat="false" ht="15.75" hidden="false" customHeight="true" outlineLevel="0" collapsed="false">
      <c r="A33" s="9" t="n">
        <v>27</v>
      </c>
      <c r="B33" s="9" t="s">
        <v>148</v>
      </c>
      <c r="C33" s="11" t="s">
        <v>149</v>
      </c>
      <c r="D33" s="11" t="s">
        <v>155</v>
      </c>
      <c r="E33" s="11" t="s">
        <v>156</v>
      </c>
      <c r="F33" s="11" t="s">
        <v>157</v>
      </c>
      <c r="G33" s="12" t="n">
        <v>15</v>
      </c>
      <c r="H33" s="13" t="n">
        <v>0</v>
      </c>
      <c r="I33" s="9" t="n">
        <f aca="false">G33*$C$4+H33</f>
        <v>15</v>
      </c>
      <c r="J33" s="13" t="n">
        <v>100</v>
      </c>
      <c r="K33" s="9" t="n">
        <f aca="false">IF(I33&lt;=0,0,ROUNDUP(I33/J33,0))</f>
        <v>1</v>
      </c>
      <c r="L33" s="20" t="n">
        <v>270</v>
      </c>
      <c r="M33" s="15" t="n">
        <f aca="false">IF(L33="","",K33*L33)</f>
        <v>270</v>
      </c>
      <c r="N33" s="16" t="s">
        <v>152</v>
      </c>
      <c r="O33" s="19" t="s">
        <v>158</v>
      </c>
      <c r="P33" s="18" t="s">
        <v>159</v>
      </c>
    </row>
    <row r="34" customFormat="false" ht="15.75" hidden="false" customHeight="true" outlineLevel="0" collapsed="false">
      <c r="A34" s="9" t="n">
        <v>28</v>
      </c>
      <c r="B34" s="10" t="s">
        <v>160</v>
      </c>
      <c r="C34" s="11" t="s">
        <v>149</v>
      </c>
      <c r="D34" s="11" t="s">
        <v>161</v>
      </c>
      <c r="E34" s="11" t="s">
        <v>162</v>
      </c>
      <c r="F34" s="11" t="s">
        <v>149</v>
      </c>
      <c r="G34" s="12" t="n">
        <v>1</v>
      </c>
      <c r="H34" s="13" t="n">
        <v>0</v>
      </c>
      <c r="I34" s="9" t="n">
        <f aca="false">G34*$C$4+H34</f>
        <v>1</v>
      </c>
      <c r="J34" s="13" t="n">
        <v>5</v>
      </c>
      <c r="K34" s="9" t="n">
        <f aca="false">IF(I34&lt;=0,0,ROUNDUP(I34/J34,0))</f>
        <v>1</v>
      </c>
      <c r="L34" s="15" t="n">
        <f aca="false">17.52*$C$8</f>
        <v>857.0784</v>
      </c>
      <c r="M34" s="15" t="n">
        <f aca="false">IF(L34="","",K34*L34)</f>
        <v>857.0784</v>
      </c>
      <c r="N34" s="16" t="s">
        <v>163</v>
      </c>
      <c r="O34" s="16"/>
      <c r="P34" s="18" t="s">
        <v>164</v>
      </c>
    </row>
    <row r="35" customFormat="false" ht="15.75" hidden="false" customHeight="true" outlineLevel="0" collapsed="false">
      <c r="L35" s="3" t="s">
        <v>165</v>
      </c>
      <c r="M35" s="21" t="n">
        <f aca="false">SUM(M10:M34)</f>
        <v>3499.961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autoFilter ref="A9:P34"/>
  <dataValidations count="1">
    <dataValidation allowBlank="true" errorStyle="stop" operator="greaterThanOrEqual" showDropDown="false" showErrorMessage="false" showInputMessage="false" sqref="L10:L34" type="decimal">
      <formula1>0</formula1>
      <formula2>0</formula2>
    </dataValidation>
  </dataValidations>
  <hyperlinks>
    <hyperlink ref="O10" r:id="rId2" display="https://www.robotistan.com/raspberry-pi-pico-2-w-header"/>
    <hyperlink ref="O11" r:id="rId3" display="https://www.robotistan.com/raspberry-pi-pico-2-header?language=tr&amp;h=7e0eb27a&amp;_sgm_campaign=fcs_c12e1a8d78000&amp;_sgm_source=12938%7Cproduct&amp;_sgm_action=search&amp;_sgm_term=pico&amp;_sgm_pinned=false"/>
    <hyperlink ref="O12" r:id="rId4" display="https://www.tme.eu/tr/tr/details/tps2116drlr/analog-coklayicilar-ve-anahtarlar/texas-instruments/"/>
    <hyperlink ref="O13" r:id="rId5" display="https://ozdisan.com/integrated-circuits-ics/power-management-ics/power-switches/TPS2553DBVR"/>
    <hyperlink ref="O14" r:id="rId6" display="https://ozdisan.com/integrated-circuits-ics/power-management-ics/power-switches/TPS2552DBVR"/>
    <hyperlink ref="O15" r:id="rId7" display="https://ozdisan.com/power-semiconductors/diodes-diode-modules-and-rectifiers/tvs-diodes/TPD4E1U06DBVR"/>
    <hyperlink ref="O16" r:id="rId8" display="https://www.ozdisan.com/p/usb-konnektorler-357/kls-electronic-l-kls1-5416-l1-01-r-1564461"/>
    <hyperlink ref="O17" r:id="rId9" display="https://www.motorobit.com/6-pin-254mm-90c-pogo-pin-magnetic-connector-set-with-ear?srsltid=AU7gw4X13e_PdnJaSYcjqRrRIxg3XB_G7ziLdFPaJnamQ-Cs_lbV83Cm"/>
    <hyperlink ref="O18" r:id="rId10" display="https://www.motorobit.com/1x40-erkek-header-40-pin-254mm-180-derece"/>
    <hyperlink ref="O19" r:id="rId11" display="https://www.ozdisan.com/passive-components/capacitors/aluminum-capacitors/EEE-FK1E101XP/622893"/>
    <hyperlink ref="O20" r:id="rId12" display="https://www.ozdisan.com/p/smt-smd-ve-mlcc-kapasitorler-184/samsung-cl21b105kbfnnne-347740?catSequenceId=184"/>
    <hyperlink ref="O21" r:id="rId13" display="https://www.ozdisan.com/p/smt-smd-ve-mlcc-kapasitorler-184/samsung-cl21b104kbcnnnc-14777?catSequenceId=184"/>
    <hyperlink ref="O22" r:id="rId14" display="https://www.ozdisan.com/p/smt-smd-ve-cip-direncler-194/royalohm-0805s8f1002t5e-30240?catSequenceId=194"/>
    <hyperlink ref="O23" r:id="rId15" display="https://www.ozdisan.com/p/smt-smd-ve-cip-direncler-194/yageo-rc0805fr-071kl-460155?catSequenceId=194"/>
    <hyperlink ref="O24" r:id="rId16" display="https://www.ozdisan.com/p/smt-smd-ve-cip-direncler-194/royalohm-0805s8f5101t5e-358456?catSequenceId=194"/>
    <hyperlink ref="O25" r:id="rId17" display="https://www.ozdisan.com/p/smt-smd-ve-cip-direncler-194/royalohm-0805s8f3300t5e-36831?catSequenceId=194"/>
    <hyperlink ref="O26" r:id="rId18" display="https://www.ozdisan.com/p/smt-smd-ve-cip-direncler-194/royalohm-0805s8f2612t5e-505551?catSequenceId=194"/>
    <hyperlink ref="O27" r:id="rId19" display="https://www.ozdisan.com/p/smt-smd-ve-cip-direncler-194/royalohm-0805s8f5602t5e-340670?catSequenceId=194"/>
    <hyperlink ref="O28" r:id="rId20" display="https://www.ozdisan.com/p/smt-smd-ve-cip-direncler-194/royalohm-0805s8f2202t5e-335040?catSequenceId=194"/>
    <hyperlink ref="O29" r:id="rId21" display="https://www.ozdisan.com/p/smt-smd-ve-cip-direncler-194/royalohm-0805s8f3302t5e-339608?catSequenceId=194"/>
    <hyperlink ref="O30" r:id="rId22" display="https://www.ozdisan.com/p/smt-smd-ve-cip-direncler-194/royalohm-0805s8f1003t5e-30244?catSequenceId=194"/>
    <hyperlink ref="O32" r:id="rId23" display="https://www.motorobit.com/1x40-disi-header-40-pin-180-derece"/>
    <hyperlink ref="O33" r:id="rId24" display="https://www.motorobit.com/yayli-pogo-p50-b1-test-probu-100-ad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"/>
  <legacy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2026-09-26T08:19:20Z</dcterms:created>
  <dc:creator>openpyxl</dc:creator>
  <dc:description/>
  <dc:language>en-US</dc:language>
  <cp:lastModifiedBy/>
  <dcterms:modified xsi:type="dcterms:W3CDTF">2026-09-26T08:19:20Z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